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vinic\Documents\Projetos\Viagens\CSV\"/>
    </mc:Choice>
  </mc:AlternateContent>
  <xr:revisionPtr revIDLastSave="0" documentId="13_ncr:1_{8B47AB3E-8737-47E4-9621-F30DD60F7F4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1" r:id="rId1"/>
    <sheet name="Despesas" sheetId="2" r:id="rId2"/>
    <sheet name="Viagens" sheetId="3" r:id="rId3"/>
  </sheets>
  <definedNames>
    <definedName name="_xlnm.Print_Area" localSheetId="0">Dashboard!$B$2:$J$30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<sst xmlns="http://schemas.openxmlformats.org/spreadsheetml/2006/main" count="222" uniqueCount="167">
  <si>
    <t>MOTOTRIP • DASHBOARD DE DESPESAS</t>
  </si>
  <si>
    <t>Resumo visual da viagem • 07 a 25 de agosto de 2026</t>
  </si>
  <si>
    <t>TOTAL GASTO
R$ 2.072,39
35 lançamentos</t>
  </si>
  <si>
    <t>DISTÂNCIA
3.746 km
143.976 → 147.722</t>
  </si>
  <si>
    <t>MÉDIA
27,21 km/L
média geral da viagem</t>
  </si>
  <si>
    <t>DESPESAS POR TIPO</t>
  </si>
  <si>
    <t>INDICADORES DE COMBUSTÍVEL</t>
  </si>
  <si>
    <t>Tipo</t>
  </si>
  <si>
    <t>Valor</t>
  </si>
  <si>
    <t>% do total</t>
  </si>
  <si>
    <t>Combustível</t>
  </si>
  <si>
    <t>Litros utilizados</t>
  </si>
  <si>
    <t>Preço médio/L</t>
  </si>
  <si>
    <t>Hospedagem</t>
  </si>
  <si>
    <t>Outros</t>
  </si>
  <si>
    <t>Custo por km</t>
  </si>
  <si>
    <t>Abastecimentos</t>
  </si>
  <si>
    <t>Refeição</t>
  </si>
  <si>
    <t>Café</t>
  </si>
  <si>
    <t>Pedágio</t>
  </si>
  <si>
    <t>VIAGEMID</t>
  </si>
  <si>
    <t>TIPO</t>
  </si>
  <si>
    <t>DATA</t>
  </si>
  <si>
    <t>DESCRIÇÃO</t>
  </si>
  <si>
    <t>VALOR</t>
  </si>
  <si>
    <t>KM</t>
  </si>
  <si>
    <t>LITROS</t>
  </si>
  <si>
    <t>POSTO</t>
  </si>
  <si>
    <t>CRIADO EM</t>
  </si>
  <si>
    <t>ID</t>
  </si>
  <si>
    <t>INICIO</t>
  </si>
  <si>
    <t>35.74</t>
  </si>
  <si>
    <t>5.71</t>
  </si>
  <si>
    <t>LUMA</t>
  </si>
  <si>
    <t>2026-08-07T11:14:26.567Z</t>
  </si>
  <si>
    <t>ESTRADA</t>
  </si>
  <si>
    <t>34.27</t>
  </si>
  <si>
    <t>5.28</t>
  </si>
  <si>
    <t>REDE PAVAO- CASTELO BRANCO</t>
  </si>
  <si>
    <t>2026-08-07T12:58:48.710Z</t>
  </si>
  <si>
    <t>A CAMPONESA</t>
  </si>
  <si>
    <t>9.2</t>
  </si>
  <si>
    <t>2026-08-07T14:59:57.598Z</t>
  </si>
  <si>
    <t>CASTELO</t>
  </si>
  <si>
    <t>40.01</t>
  </si>
  <si>
    <t>5.98</t>
  </si>
  <si>
    <t>SIQUELEIRO</t>
  </si>
  <si>
    <t>2026-08-07T15:01:17.263Z</t>
  </si>
  <si>
    <t>GRAAL IARAS</t>
  </si>
  <si>
    <t>2026-08-07T15:38:17.504Z</t>
  </si>
  <si>
    <t>ADITIVADA</t>
  </si>
  <si>
    <t>59.06</t>
  </si>
  <si>
    <t>9.39</t>
  </si>
  <si>
    <t>POMPEIA</t>
  </si>
  <si>
    <t>2026-08-07T18:38:55.673Z</t>
  </si>
  <si>
    <t>CAFÉ E BOLO DE CARNE</t>
  </si>
  <si>
    <t>2026-08-08T00:47:49.478Z</t>
  </si>
  <si>
    <t>CABRALIA</t>
  </si>
  <si>
    <t>1.9</t>
  </si>
  <si>
    <t>2026-08-08T11:02:30.689Z</t>
  </si>
  <si>
    <t>GALIA</t>
  </si>
  <si>
    <t>5.9</t>
  </si>
  <si>
    <t>2026-08-08T11:04:58.406Z</t>
  </si>
  <si>
    <t>ORIENTE</t>
  </si>
  <si>
    <t>2026-08-08T11:04:22.156Z</t>
  </si>
  <si>
    <t>SORVETE</t>
  </si>
  <si>
    <t>2026-08-09T18:07:23.889Z</t>
  </si>
  <si>
    <t>APARELHO DE BARBEAR</t>
  </si>
  <si>
    <t>28.8</t>
  </si>
  <si>
    <t>2026-08-09T18:07:55.926Z</t>
  </si>
  <si>
    <t>MERCADO CARNE E QUEIJO</t>
  </si>
  <si>
    <t>98.91</t>
  </si>
  <si>
    <t>2026-08-12T09:12:21.671Z</t>
  </si>
  <si>
    <t>POSTO POMPEIA</t>
  </si>
  <si>
    <t>51.48</t>
  </si>
  <si>
    <t>8.25</t>
  </si>
  <si>
    <t>2026-08-15T09:41:44.460Z</t>
  </si>
  <si>
    <t>ARACATUBA</t>
  </si>
  <si>
    <t>42.55</t>
  </si>
  <si>
    <t>6.45</t>
  </si>
  <si>
    <t>2026-08-18T08:25:14.587Z</t>
  </si>
  <si>
    <t>JALES</t>
  </si>
  <si>
    <t>40.94</t>
  </si>
  <si>
    <t>6.12</t>
  </si>
  <si>
    <t>2026-08-18T08:27:21.876Z</t>
  </si>
  <si>
    <t>MINAS CARNEIRINHO</t>
  </si>
  <si>
    <t>33.71</t>
  </si>
  <si>
    <t>5.35</t>
  </si>
  <si>
    <t>CARNEIRINHO MG</t>
  </si>
  <si>
    <t>2026-08-18T08:29:16.029Z</t>
  </si>
  <si>
    <t>FERNANDOPOLIS</t>
  </si>
  <si>
    <t>50.94</t>
  </si>
  <si>
    <t>7.73</t>
  </si>
  <si>
    <t>2026-08-19T12:35:07.824Z</t>
  </si>
  <si>
    <t>HOTEL PASSOS MG</t>
  </si>
  <si>
    <t>2026-08-19T21:50:28.057Z</t>
  </si>
  <si>
    <t>72.18</t>
  </si>
  <si>
    <t>10.18</t>
  </si>
  <si>
    <t>2026-08-19T21:52:18.161Z</t>
  </si>
  <si>
    <t>PASSOS TOKADOTATU</t>
  </si>
  <si>
    <t>2026-08-20T02:54:54.461Z</t>
  </si>
  <si>
    <t>PASSOS</t>
  </si>
  <si>
    <t>34.01</t>
  </si>
  <si>
    <t>4.93</t>
  </si>
  <si>
    <t>SHELL</t>
  </si>
  <si>
    <t>2026-08-20T11:38:13.904Z</t>
  </si>
  <si>
    <t>SHELL DIVINOPOLIS</t>
  </si>
  <si>
    <t>53.8</t>
  </si>
  <si>
    <t>8.19</t>
  </si>
  <si>
    <t>2026-08-20T16:49:40.678Z</t>
  </si>
  <si>
    <t>POSTO BEIJA FLOR ANTES</t>
  </si>
  <si>
    <t>38.33</t>
  </si>
  <si>
    <t>5.73</t>
  </si>
  <si>
    <t>MINAS</t>
  </si>
  <si>
    <t>2026-08-22T18:50:56.817Z</t>
  </si>
  <si>
    <t>VENDA NOVA DO IMIGRANTE</t>
  </si>
  <si>
    <t>41.86</t>
  </si>
  <si>
    <t>6.5</t>
  </si>
  <si>
    <t>2026-08-22T18:52:53.865Z</t>
  </si>
  <si>
    <t>HOTEL ESMIG VENDA NOVA</t>
  </si>
  <si>
    <t>2026-08-22T18:55:37.901Z</t>
  </si>
  <si>
    <t>44.63</t>
  </si>
  <si>
    <t>7.21</t>
  </si>
  <si>
    <t>2026-08-22T18:57:47.417Z</t>
  </si>
  <si>
    <t xml:space="preserve">GASOLINA GRID </t>
  </si>
  <si>
    <t>30.06</t>
  </si>
  <si>
    <t>4.51</t>
  </si>
  <si>
    <t>BR GRID</t>
  </si>
  <si>
    <t>2026-08-24T18:06:10.524Z</t>
  </si>
  <si>
    <t>37.93</t>
  </si>
  <si>
    <t>5.57</t>
  </si>
  <si>
    <t>BR</t>
  </si>
  <si>
    <t>2026-08-24T18:07:37.903Z</t>
  </si>
  <si>
    <t>GRID</t>
  </si>
  <si>
    <t>48.31</t>
  </si>
  <si>
    <t>7.34</t>
  </si>
  <si>
    <t>BR VASSOURAS RJ</t>
  </si>
  <si>
    <t>2026-08-25T10:03:35.720Z</t>
  </si>
  <si>
    <t>BR RJ</t>
  </si>
  <si>
    <t>2026-08-25T10:05:44.076Z</t>
  </si>
  <si>
    <t>VPOWER</t>
  </si>
  <si>
    <t>33.59</t>
  </si>
  <si>
    <t xml:space="preserve">SHELL GUARATINGUETA </t>
  </si>
  <si>
    <t>2026-08-25T19:49:13.980Z</t>
  </si>
  <si>
    <t>IPIMAX</t>
  </si>
  <si>
    <t>43.35</t>
  </si>
  <si>
    <t>6.48</t>
  </si>
  <si>
    <t>VASSOURAS</t>
  </si>
  <si>
    <t>2026-08-25T19:51:24.798Z</t>
  </si>
  <si>
    <t>HOTEL EM TRES RIOS</t>
  </si>
  <si>
    <t>2026-08-25T22:18:56.781Z</t>
  </si>
  <si>
    <t>HOTEL CANAÃ</t>
  </si>
  <si>
    <t>2026-08-25T22:19:51.814Z</t>
  </si>
  <si>
    <t>nome</t>
  </si>
  <si>
    <t>destino</t>
  </si>
  <si>
    <t>dataInicio</t>
  </si>
  <si>
    <t>kmFinal</t>
  </si>
  <si>
    <t>kmInicial</t>
  </si>
  <si>
    <t>observacoes</t>
  </si>
  <si>
    <t>criadoEm</t>
  </si>
  <si>
    <t>id</t>
  </si>
  <si>
    <t>2026 - HERCULÂNDIA - RUBINÉIA - ES</t>
  </si>
  <si>
    <t>ES - PEDRA AZUL</t>
  </si>
  <si>
    <t>2026-08-27T09:52:13.402Z</t>
  </si>
  <si>
    <t>5.17</t>
  </si>
  <si>
    <t>COMBUSTÍVEL
R$ 904,68
137.64 litros</t>
  </si>
  <si>
    <t>POSTO SHELL FRANCA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</si>
</sst>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R\$\ #,##0.00"/>
    <numFmt numFmtId="165" formatCode="0.0%"/>
    <numFmt numFmtId="166" formatCode="0.000"/>
  </numFmts>
  <fonts count="8" x14ac:knownFonts="1">
    <font>
      <sz val="11"/>
      <color theme="1"/>
      <name val="Aptos Narrow"/>
      <family val="2"/>
      <scheme val="minor"/>
    </font>
    <font>
      <b/>
      <sz val="22"/>
      <color rgb="FFFFFFFF"/>
      <name val="Aptos Narrow"/>
    </font>
    <font>
      <i/>
      <sz val="11"/>
      <color rgb="FF5B6570"/>
      <name val="Aptos Narrow"/>
    </font>
    <font>
      <b/>
      <sz val="14"/>
      <color rgb="FFFFFFFF"/>
      <name val="Aptos Narrow"/>
    </font>
    <font>
      <b/>
      <sz val="14"/>
      <color rgb="FF17324D"/>
      <name val="Aptos Narrow"/>
    </font>
    <font>
      <b/>
      <sz val="11"/>
      <color rgb="FFFFFFFF"/>
      <name val="Aptos Narrow"/>
    </font>
    <font>
      <b/>
      <sz val="11"/>
      <color rgb="FF5B6570"/>
      <name val="Aptos Narrow"/>
    </font>
    <font>
      <b/>
      <sz val="16"/>
      <color rgb="FF17324D"/>
      <name val="Aptos Narrow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17324D"/>
      </patternFill>
    </fill>
    <fill>
      <patternFill patternType="solid">
        <fgColor rgb="FF1F6E8C"/>
      </patternFill>
    </fill>
    <fill>
      <patternFill patternType="solid">
        <fgColor rgb="FFD4A017"/>
      </patternFill>
    </fill>
    <fill>
      <patternFill patternType="solid">
        <fgColor rgb="FF2E8B57"/>
      </patternFill>
    </fill>
    <fill>
      <patternFill patternType="solid">
        <fgColor rgb="FFEAF2F8"/>
      </patternFill>
    </fill>
    <fill>
      <patternFill patternType="solid">
        <fgColor rgb="FFFFFFFF"/>
      </patternFill>
    </fill>
  </fills>
  <borders count="2">
    <border>
      <left/>
      <right/>
      <top/>
      <bottom/>
      <diagonal/>
    </border>
    <border>
      <left/>
      <right/>
      <top/>
      <bottom style="thin">
        <color rgb="FFD9E2F3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0" fillId="2" borderId="0" xfId="0" applyFill="1"/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4" fillId="0" borderId="0" xfId="0" applyFont="1"/>
    <xf numFmtId="0" fontId="5" fillId="3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164" fontId="0" fillId="7" borderId="1" xfId="0" applyNumberFormat="1" applyFill="1" applyBorder="1" applyAlignment="1">
      <alignment vertical="center"/>
    </xf>
    <xf numFmtId="165" fontId="0" fillId="7" borderId="1" xfId="0" applyNumberFormat="1" applyFill="1" applyBorder="1" applyAlignment="1">
      <alignment vertical="center"/>
    </xf>
    <xf numFmtId="0" fontId="6" fillId="0" borderId="0" xfId="0" applyFont="1"/>
    <xf numFmtId="0" fontId="0" fillId="8" borderId="1" xfId="0" applyFill="1" applyBorder="1" applyAlignment="1">
      <alignment vertical="center"/>
    </xf>
    <xf numFmtId="164" fontId="0" fillId="8" borderId="1" xfId="0" applyNumberFormat="1" applyFill="1" applyBorder="1" applyAlignment="1">
      <alignment vertical="center"/>
    </xf>
    <xf numFmtId="165" fontId="0" fillId="8" borderId="1" xfId="0" applyNumberFormat="1" applyFill="1" applyBorder="1" applyAlignment="1">
      <alignment vertical="center"/>
    </xf>
    <xf numFmtId="166" fontId="7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1" fillId="3" borderId="0" xfId="0" applyFont="1" applyFill="1" applyAlignment="1">
      <alignment horizontal="center" vertical="center"/>
    </xf>
    <xf numFmtId="0" fontId="0" fillId="0" borderId="0" xfId="0"/>
    <xf numFmtId="0" fontId="3" fillId="5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Distribuição das despesas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Dashboard!$B$23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Dashboard!$A$24:$A$29</c:f>
              <c:strCache>
                <c:ptCount val="6"/>
                <c:pt idx="0">
                  <c:v>Combustível</c:v>
                </c:pt>
                <c:pt idx="1">
                  <c:v>Hospedagem</c:v>
                </c:pt>
                <c:pt idx="2">
                  <c:v>Outros</c:v>
                </c:pt>
                <c:pt idx="3">
                  <c:v>Refeição</c:v>
                </c:pt>
                <c:pt idx="4">
                  <c:v>Café</c:v>
                </c:pt>
                <c:pt idx="5">
                  <c:v>Pedágio</c:v>
                </c:pt>
              </c:strCache>
            </c:strRef>
          </c:cat>
          <c:val>
            <c:numRef>
              <c:f>Dashboard!$B$24:$B$29</c:f>
              <c:numCache>
                <c:formatCode>General</c:formatCode>
                <c:ptCount val="6"/>
                <c:pt idx="0">
                  <c:v>904.68</c:v>
                </c:pt>
                <c:pt idx="1">
                  <c:v>855</c:v>
                </c:pt>
                <c:pt idx="2">
                  <c:v>162.71</c:v>
                </c:pt>
                <c:pt idx="3">
                  <c:v>111</c:v>
                </c:pt>
                <c:pt idx="4">
                  <c:v>25.2</c:v>
                </c:pt>
                <c:pt idx="5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C-444B-8E02-FF635B57B55D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  <c:holeSize val="58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pt-BR"/>
              <a:t>Valor gasto por categoria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Dashboard!$B$23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Dashboard!$A$24:$A$29</c:f>
              <c:strCache>
                <c:ptCount val="6"/>
                <c:pt idx="0">
                  <c:v>Combustível</c:v>
                </c:pt>
                <c:pt idx="1">
                  <c:v>Hospedagem</c:v>
                </c:pt>
                <c:pt idx="2">
                  <c:v>Outros</c:v>
                </c:pt>
                <c:pt idx="3">
                  <c:v>Refeição</c:v>
                </c:pt>
                <c:pt idx="4">
                  <c:v>Café</c:v>
                </c:pt>
                <c:pt idx="5">
                  <c:v>Pedágio</c:v>
                </c:pt>
              </c:strCache>
            </c:strRef>
          </c:cat>
          <c:val>
            <c:numRef>
              <c:f>Dashboard!$B$24:$B$29</c:f>
              <c:numCache>
                <c:formatCode>General</c:formatCode>
                <c:ptCount val="6"/>
                <c:pt idx="0">
                  <c:v>904.68</c:v>
                </c:pt>
                <c:pt idx="1">
                  <c:v>855</c:v>
                </c:pt>
                <c:pt idx="2">
                  <c:v>162.71</c:v>
                </c:pt>
                <c:pt idx="3">
                  <c:v>111</c:v>
                </c:pt>
                <c:pt idx="4">
                  <c:v>25.2</c:v>
                </c:pt>
                <c:pt idx="5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4-4C0E-AAF3-66C7153D6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R$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Categoria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19</xdr:row>
      <xdr:rowOff>0</xdr:rowOff>
    </xdr:from>
    <xdr:ext cx="468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19</xdr:row>
      <xdr:rowOff>0</xdr:rowOff>
    </xdr:from>
    <xdr:ext cx="468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1"/>
  <sheetViews>
    <sheetView showGridLines="0" tabSelected="1" workbookViewId="0">
      <pane xSplit="1" ySplit="5" topLeftCell="B6" activePane="bottomRight" state="frozen"/>
      <selection pane="topRight"/>
      <selection pane="bottomLeft"/>
      <selection pane="bottomRight" activeCell="G10" sqref="G10"/>
    </sheetView>
  </sheetViews>
  <sheetFormatPr defaultRowHeight="15" x14ac:dyDescent="0.25"/>
  <cols>
    <col min="1" max="1" width="3" customWidth="1"/>
    <col min="2" max="5" width="18" customWidth="1"/>
    <col min="6" max="6" width="4" customWidth="1"/>
    <col min="7" max="10" width="18" customWidth="1"/>
    <col min="11" max="11" width="3" customWidth="1"/>
  </cols>
  <sheetData>
    <row r="1" spans="2:10" ht="21.95" customHeight="1" x14ac:dyDescent="0.25"/>
    <row r="2" spans="2:10" ht="21.95" customHeight="1" x14ac:dyDescent="0.25">
      <c r="B2" s="17" t="s">
        <v>0</v>
      </c>
      <c r="C2" s="18"/>
      <c r="D2" s="18"/>
      <c r="E2" s="18"/>
      <c r="F2" s="18"/>
      <c r="G2" s="18"/>
      <c r="H2" s="18"/>
      <c r="I2" s="18"/>
      <c r="J2" s="18"/>
    </row>
    <row r="3" spans="2:10" ht="21.95" customHeight="1" x14ac:dyDescent="0.25">
      <c r="B3" s="18"/>
      <c r="C3" s="18"/>
      <c r="D3" s="18"/>
      <c r="E3" s="18"/>
      <c r="F3" s="18"/>
      <c r="G3" s="18"/>
      <c r="H3" s="18"/>
      <c r="I3" s="18"/>
      <c r="J3" s="18"/>
    </row>
    <row r="4" spans="2:10" ht="21.95" customHeight="1" x14ac:dyDescent="0.25">
      <c r="B4" s="22" t="s">
        <v>1</v>
      </c>
      <c r="C4" s="18"/>
      <c r="D4" s="18"/>
      <c r="E4" s="18"/>
      <c r="F4" s="18"/>
      <c r="G4" s="18"/>
      <c r="H4" s="18"/>
      <c r="I4" s="18"/>
      <c r="J4" s="18"/>
    </row>
    <row r="5" spans="2:10" ht="21.95" customHeight="1" x14ac:dyDescent="0.25"/>
    <row r="6" spans="2:10" ht="21.95" customHeight="1" x14ac:dyDescent="0.25">
      <c r="B6" s="21" t="s">
        <v>2</v>
      </c>
      <c r="C6" s="18"/>
      <c r="D6" s="20" t="s">
        <v>165</v>
      </c>
      <c r="E6" s="18"/>
      <c r="G6" s="19" t="s">
        <v>3</v>
      </c>
      <c r="H6" s="18"/>
      <c r="I6" s="23" t="s">
        <v>4</v>
      </c>
      <c r="J6" s="18"/>
    </row>
    <row r="7" spans="2:10" ht="21.95" customHeight="1" x14ac:dyDescent="0.25">
      <c r="B7" s="18"/>
      <c r="C7" s="18"/>
      <c r="D7" s="18"/>
      <c r="E7" s="18"/>
      <c r="G7" s="18"/>
      <c r="H7" s="18"/>
      <c r="I7" s="18"/>
      <c r="J7" s="18"/>
    </row>
    <row r="8" spans="2:10" ht="21.95" customHeight="1" x14ac:dyDescent="0.25">
      <c r="B8" s="18"/>
      <c r="C8" s="18"/>
      <c r="D8" s="18"/>
      <c r="E8" s="18"/>
      <c r="G8" s="18"/>
      <c r="H8" s="18"/>
      <c r="I8" s="18"/>
      <c r="J8" s="18"/>
    </row>
    <row r="9" spans="2:10" ht="21.95" customHeight="1" x14ac:dyDescent="0.25"/>
    <row r="10" spans="2:10" ht="21.95" customHeight="1" x14ac:dyDescent="0.25"/>
    <row r="11" spans="2:10" ht="21.95" customHeight="1" x14ac:dyDescent="0.3">
      <c r="B11" s="3" t="s">
        <v>5</v>
      </c>
      <c r="C11" s="4"/>
      <c r="D11" s="4"/>
      <c r="G11" s="5" t="s">
        <v>6</v>
      </c>
    </row>
    <row r="12" spans="2:10" ht="21.95" customHeight="1" x14ac:dyDescent="0.25">
      <c r="B12" s="6" t="s">
        <v>7</v>
      </c>
      <c r="C12" s="6" t="s">
        <v>8</v>
      </c>
      <c r="D12" s="6" t="s">
        <v>9</v>
      </c>
    </row>
    <row r="13" spans="2:10" ht="21.95" customHeight="1" x14ac:dyDescent="0.25">
      <c r="B13" s="7" t="s">
        <v>10</v>
      </c>
      <c r="C13" s="8">
        <v>904.68</v>
      </c>
      <c r="D13" s="9">
        <v>0.43653945444631559</v>
      </c>
      <c r="G13" s="10" t="s">
        <v>11</v>
      </c>
      <c r="I13" s="10" t="s">
        <v>12</v>
      </c>
    </row>
    <row r="14" spans="2:10" ht="21.95" customHeight="1" x14ac:dyDescent="0.35">
      <c r="B14" s="11" t="s">
        <v>13</v>
      </c>
      <c r="C14" s="12">
        <v>855</v>
      </c>
      <c r="D14" s="13">
        <v>0.4125671326343015</v>
      </c>
      <c r="G14" s="14">
        <v>137.64699999999999</v>
      </c>
      <c r="I14" s="15">
        <v>6.5724643472069859</v>
      </c>
    </row>
    <row r="15" spans="2:10" ht="21.95" customHeight="1" x14ac:dyDescent="0.25">
      <c r="B15" s="7" t="s">
        <v>14</v>
      </c>
      <c r="C15" s="8">
        <v>162.71</v>
      </c>
      <c r="D15" s="9">
        <v>7.8513214211610741E-2</v>
      </c>
      <c r="G15" s="10" t="s">
        <v>15</v>
      </c>
      <c r="I15" s="10" t="s">
        <v>16</v>
      </c>
    </row>
    <row r="16" spans="2:10" ht="21.95" customHeight="1" x14ac:dyDescent="0.35">
      <c r="B16" s="11" t="s">
        <v>17</v>
      </c>
      <c r="C16" s="12">
        <v>111</v>
      </c>
      <c r="D16" s="13">
        <v>5.3561347043751421E-2</v>
      </c>
      <c r="G16" s="15">
        <v>0.24150560597971171</v>
      </c>
      <c r="I16" s="16">
        <v>21</v>
      </c>
    </row>
    <row r="17" spans="1:4" ht="21.95" customHeight="1" x14ac:dyDescent="0.25">
      <c r="B17" s="7" t="s">
        <v>18</v>
      </c>
      <c r="C17" s="8">
        <v>25.2</v>
      </c>
      <c r="D17" s="9">
        <v>1.215987338290573E-2</v>
      </c>
    </row>
    <row r="18" spans="1:4" ht="21.95" customHeight="1" x14ac:dyDescent="0.25">
      <c r="B18" s="11" t="s">
        <v>19</v>
      </c>
      <c r="C18" s="12">
        <v>13.8</v>
      </c>
      <c r="D18" s="13">
        <v>6.6589782811150421E-3</v>
      </c>
    </row>
    <row r="19" spans="1:4" ht="21.95" customHeight="1" x14ac:dyDescent="0.25"/>
    <row r="20" spans="1:4" ht="21.95" customHeight="1" x14ac:dyDescent="0.25"/>
    <row r="21" spans="1:4" ht="21.95" customHeight="1" x14ac:dyDescent="0.25"/>
    <row r="22" spans="1:4" ht="21.95" customHeight="1" x14ac:dyDescent="0.25"/>
    <row r="23" spans="1:4" ht="21.95" customHeight="1" x14ac:dyDescent="0.25">
      <c r="A23" t="s">
        <v>7</v>
      </c>
      <c r="B23" t="s">
        <v>8</v>
      </c>
    </row>
    <row r="24" spans="1:4" ht="21.95" customHeight="1" x14ac:dyDescent="0.25">
      <c r="A24" t="s">
        <v>10</v>
      </c>
      <c r="B24">
        <v>904.68</v>
      </c>
    </row>
    <row r="25" spans="1:4" ht="21.95" customHeight="1" x14ac:dyDescent="0.25">
      <c r="A25" t="s">
        <v>13</v>
      </c>
      <c r="B25">
        <v>855</v>
      </c>
    </row>
    <row r="26" spans="1:4" ht="21.95" customHeight="1" x14ac:dyDescent="0.25">
      <c r="A26" t="s">
        <v>14</v>
      </c>
      <c r="B26">
        <v>162.71</v>
      </c>
    </row>
    <row r="27" spans="1:4" ht="21.95" customHeight="1" x14ac:dyDescent="0.25">
      <c r="A27" t="s">
        <v>17</v>
      </c>
      <c r="B27">
        <v>111</v>
      </c>
    </row>
    <row r="28" spans="1:4" ht="21.95" customHeight="1" x14ac:dyDescent="0.25">
      <c r="A28" t="s">
        <v>18</v>
      </c>
      <c r="B28">
        <v>25.2</v>
      </c>
    </row>
    <row r="29" spans="1:4" ht="21.95" customHeight="1" x14ac:dyDescent="0.25">
      <c r="A29" t="s">
        <v>19</v>
      </c>
      <c r="B29">
        <v>13.8</v>
      </c>
    </row>
    <row r="30" spans="1:4" ht="21.95" customHeight="1" x14ac:dyDescent="0.25"/>
    <row r="31" spans="1:4" ht="21.95" customHeight="1" x14ac:dyDescent="0.25"/>
  </sheetData>
  <mergeCells count="6">
    <mergeCell ref="B2:J3"/>
    <mergeCell ref="G6:H8"/>
    <mergeCell ref="D6:E8"/>
    <mergeCell ref="B6:C8"/>
    <mergeCell ref="B4:J4"/>
    <mergeCell ref="I6:J8"/>
  </mergeCells>
  <pageMargins left="0.75" right="0.75" top="1" bottom="1" header="0.5" footer="0.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36"/>
  <sheetViews>
    <sheetView topLeftCell="A25" workbookViewId="0">
      <selection activeCell="H34" sqref="H34"/>
    </sheetView>
  </sheetViews>
  <sheetFormatPr defaultRowHeight="15" x14ac:dyDescent="0.25"/>
  <cols>
    <col min="1" max="1" width="9.5703125" bestFit="1" customWidth="1"/>
    <col min="2" max="2" width="12.5703125" bestFit="1" customWidth="1"/>
    <col min="3" max="3" width="10.42578125" bestFit="1" customWidth="1"/>
    <col min="4" max="4" width="26.42578125" bestFit="1" customWidth="1"/>
    <col min="5" max="5" width="6.7109375" bestFit="1" customWidth="1"/>
    <col min="6" max="7" width="7" bestFit="1" customWidth="1"/>
    <col min="8" max="8" width="29" bestFit="1" customWidth="1"/>
    <col min="9" max="9" width="23.5703125" bestFit="1" customWidth="1"/>
    <col min="10" max="10" width="3" bestFit="1" customWidth="1"/>
  </cols>
  <sheetData>
    <row r="1" spans="1:10" x14ac:dyDescent="0.25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2" t="s">
        <v>25</v>
      </c>
      <c r="G1" s="2" t="s">
        <v>26</v>
      </c>
      <c r="H1" s="2" t="s">
        <v>27</v>
      </c>
      <c r="I1" s="2" t="s">
        <v>28</v>
      </c>
      <c r="J1" s="2" t="s">
        <v>29</v>
      </c>
    </row>
    <row r="2" spans="1:10" x14ac:dyDescent="0.25">
      <c r="A2">
        <v>1</v>
      </c>
      <c r="B2" t="s">
        <v>10</v>
      </c>
      <c r="C2" s="1">
        <v>46241</v>
      </c>
      <c r="D2" t="s">
        <v>30</v>
      </c>
      <c r="E2" t="s">
        <v>31</v>
      </c>
      <c r="F2">
        <v>143976</v>
      </c>
      <c r="G2" t="s">
        <v>32</v>
      </c>
      <c r="H2" t="s">
        <v>33</v>
      </c>
      <c r="I2" t="s">
        <v>34</v>
      </c>
      <c r="J2">
        <v>1</v>
      </c>
    </row>
    <row r="3" spans="1:10" x14ac:dyDescent="0.25">
      <c r="A3">
        <v>1</v>
      </c>
      <c r="B3" t="s">
        <v>10</v>
      </c>
      <c r="C3" s="1">
        <v>46241</v>
      </c>
      <c r="D3" t="s">
        <v>35</v>
      </c>
      <c r="E3" t="s">
        <v>36</v>
      </c>
      <c r="F3">
        <v>144110</v>
      </c>
      <c r="G3" t="s">
        <v>37</v>
      </c>
      <c r="H3" t="s">
        <v>38</v>
      </c>
      <c r="I3" t="s">
        <v>39</v>
      </c>
      <c r="J3">
        <v>2</v>
      </c>
    </row>
    <row r="4" spans="1:10" x14ac:dyDescent="0.25">
      <c r="A4">
        <v>1</v>
      </c>
      <c r="B4" t="s">
        <v>18</v>
      </c>
      <c r="C4" s="1">
        <v>46241</v>
      </c>
      <c r="D4" t="s">
        <v>40</v>
      </c>
      <c r="E4" t="s">
        <v>41</v>
      </c>
      <c r="F4">
        <v>0</v>
      </c>
      <c r="G4">
        <v>0</v>
      </c>
      <c r="I4" t="s">
        <v>42</v>
      </c>
      <c r="J4">
        <v>3</v>
      </c>
    </row>
    <row r="5" spans="1:10" x14ac:dyDescent="0.25">
      <c r="A5">
        <v>1</v>
      </c>
      <c r="B5" t="s">
        <v>10</v>
      </c>
      <c r="C5" s="1">
        <v>46241</v>
      </c>
      <c r="D5" t="s">
        <v>43</v>
      </c>
      <c r="E5" t="s">
        <v>44</v>
      </c>
      <c r="F5">
        <v>144261</v>
      </c>
      <c r="G5" t="s">
        <v>45</v>
      </c>
      <c r="H5" t="s">
        <v>46</v>
      </c>
      <c r="I5" t="s">
        <v>47</v>
      </c>
      <c r="J5">
        <v>4</v>
      </c>
    </row>
    <row r="6" spans="1:10" x14ac:dyDescent="0.25">
      <c r="A6">
        <v>1</v>
      </c>
      <c r="B6" t="s">
        <v>17</v>
      </c>
      <c r="C6" s="1">
        <v>46241</v>
      </c>
      <c r="D6" t="s">
        <v>48</v>
      </c>
      <c r="E6">
        <v>38</v>
      </c>
      <c r="F6">
        <v>0</v>
      </c>
      <c r="G6">
        <v>0</v>
      </c>
      <c r="I6" t="s">
        <v>49</v>
      </c>
      <c r="J6">
        <v>5</v>
      </c>
    </row>
    <row r="7" spans="1:10" x14ac:dyDescent="0.25">
      <c r="A7">
        <v>1</v>
      </c>
      <c r="B7" t="s">
        <v>10</v>
      </c>
      <c r="C7" s="1">
        <v>46241</v>
      </c>
      <c r="D7" t="s">
        <v>50</v>
      </c>
      <c r="E7" t="s">
        <v>51</v>
      </c>
      <c r="F7">
        <v>144479</v>
      </c>
      <c r="G7" t="s">
        <v>52</v>
      </c>
      <c r="H7" t="s">
        <v>53</v>
      </c>
      <c r="I7" t="s">
        <v>54</v>
      </c>
      <c r="J7">
        <v>6</v>
      </c>
    </row>
    <row r="8" spans="1:10" x14ac:dyDescent="0.25">
      <c r="A8">
        <v>1</v>
      </c>
      <c r="B8" t="s">
        <v>18</v>
      </c>
      <c r="C8" s="1">
        <v>46241</v>
      </c>
      <c r="D8" t="s">
        <v>55</v>
      </c>
      <c r="E8">
        <v>16</v>
      </c>
      <c r="F8">
        <v>0</v>
      </c>
      <c r="G8">
        <v>0</v>
      </c>
      <c r="I8" t="s">
        <v>56</v>
      </c>
      <c r="J8">
        <v>7</v>
      </c>
    </row>
    <row r="9" spans="1:10" x14ac:dyDescent="0.25">
      <c r="A9">
        <v>1</v>
      </c>
      <c r="B9" t="s">
        <v>19</v>
      </c>
      <c r="C9" s="1">
        <v>46241</v>
      </c>
      <c r="D9" t="s">
        <v>57</v>
      </c>
      <c r="E9" t="s">
        <v>58</v>
      </c>
      <c r="F9">
        <v>0</v>
      </c>
      <c r="G9">
        <v>0</v>
      </c>
      <c r="I9" t="s">
        <v>59</v>
      </c>
      <c r="J9">
        <v>8</v>
      </c>
    </row>
    <row r="10" spans="1:10" x14ac:dyDescent="0.25">
      <c r="A10">
        <v>1</v>
      </c>
      <c r="B10" t="s">
        <v>19</v>
      </c>
      <c r="C10" s="1">
        <v>46241</v>
      </c>
      <c r="D10" t="s">
        <v>60</v>
      </c>
      <c r="E10" t="s">
        <v>61</v>
      </c>
      <c r="F10">
        <v>0</v>
      </c>
      <c r="G10">
        <v>0</v>
      </c>
      <c r="I10" t="s">
        <v>62</v>
      </c>
      <c r="J10">
        <v>9</v>
      </c>
    </row>
    <row r="11" spans="1:10" x14ac:dyDescent="0.25">
      <c r="A11">
        <v>1</v>
      </c>
      <c r="B11" t="s">
        <v>19</v>
      </c>
      <c r="C11" s="1">
        <v>46241</v>
      </c>
      <c r="D11" t="s">
        <v>63</v>
      </c>
      <c r="E11">
        <v>6</v>
      </c>
      <c r="F11">
        <v>0</v>
      </c>
      <c r="G11">
        <v>0</v>
      </c>
      <c r="I11" t="s">
        <v>64</v>
      </c>
      <c r="J11">
        <v>10</v>
      </c>
    </row>
    <row r="12" spans="1:10" x14ac:dyDescent="0.25">
      <c r="A12">
        <v>1</v>
      </c>
      <c r="B12" t="s">
        <v>14</v>
      </c>
      <c r="C12" s="1">
        <v>46243</v>
      </c>
      <c r="D12" t="s">
        <v>65</v>
      </c>
      <c r="E12">
        <v>35</v>
      </c>
      <c r="F12">
        <v>0</v>
      </c>
      <c r="G12">
        <v>0</v>
      </c>
      <c r="I12" t="s">
        <v>66</v>
      </c>
      <c r="J12">
        <v>11</v>
      </c>
    </row>
    <row r="13" spans="1:10" x14ac:dyDescent="0.25">
      <c r="A13">
        <v>1</v>
      </c>
      <c r="B13" t="s">
        <v>14</v>
      </c>
      <c r="C13" s="1">
        <v>46243</v>
      </c>
      <c r="D13" t="s">
        <v>67</v>
      </c>
      <c r="E13" t="s">
        <v>68</v>
      </c>
      <c r="F13">
        <v>0</v>
      </c>
      <c r="G13">
        <v>0</v>
      </c>
      <c r="I13" t="s">
        <v>69</v>
      </c>
      <c r="J13">
        <v>12</v>
      </c>
    </row>
    <row r="14" spans="1:10" x14ac:dyDescent="0.25">
      <c r="A14">
        <v>1</v>
      </c>
      <c r="B14" t="s">
        <v>14</v>
      </c>
      <c r="C14" s="1">
        <v>46245</v>
      </c>
      <c r="D14" t="s">
        <v>70</v>
      </c>
      <c r="E14" t="s">
        <v>71</v>
      </c>
      <c r="F14">
        <v>0</v>
      </c>
      <c r="G14">
        <v>0</v>
      </c>
      <c r="I14" t="s">
        <v>72</v>
      </c>
      <c r="J14">
        <v>13</v>
      </c>
    </row>
    <row r="15" spans="1:10" x14ac:dyDescent="0.25">
      <c r="A15">
        <v>1</v>
      </c>
      <c r="B15" t="s">
        <v>10</v>
      </c>
      <c r="C15" s="1">
        <v>46248</v>
      </c>
      <c r="D15" t="s">
        <v>73</v>
      </c>
      <c r="E15" t="s">
        <v>74</v>
      </c>
      <c r="F15">
        <v>144696</v>
      </c>
      <c r="G15" t="s">
        <v>75</v>
      </c>
      <c r="I15" t="s">
        <v>76</v>
      </c>
      <c r="J15">
        <v>14</v>
      </c>
    </row>
    <row r="16" spans="1:10" x14ac:dyDescent="0.25">
      <c r="A16">
        <v>1</v>
      </c>
      <c r="B16" t="s">
        <v>10</v>
      </c>
      <c r="C16" s="1">
        <v>46250</v>
      </c>
      <c r="D16" t="s">
        <v>77</v>
      </c>
      <c r="E16" t="s">
        <v>78</v>
      </c>
      <c r="F16">
        <v>144855</v>
      </c>
      <c r="G16" t="s">
        <v>79</v>
      </c>
      <c r="H16" t="s">
        <v>77</v>
      </c>
      <c r="I16" t="s">
        <v>80</v>
      </c>
      <c r="J16">
        <v>15</v>
      </c>
    </row>
    <row r="17" spans="1:10" x14ac:dyDescent="0.25">
      <c r="A17">
        <v>1</v>
      </c>
      <c r="B17" t="s">
        <v>10</v>
      </c>
      <c r="C17" s="1">
        <v>46250</v>
      </c>
      <c r="D17" t="s">
        <v>81</v>
      </c>
      <c r="E17" t="s">
        <v>82</v>
      </c>
      <c r="F17">
        <v>145005</v>
      </c>
      <c r="G17" t="s">
        <v>83</v>
      </c>
      <c r="H17" t="s">
        <v>81</v>
      </c>
      <c r="I17" t="s">
        <v>84</v>
      </c>
      <c r="J17">
        <v>16</v>
      </c>
    </row>
    <row r="18" spans="1:10" x14ac:dyDescent="0.25">
      <c r="A18">
        <v>1</v>
      </c>
      <c r="B18" t="s">
        <v>10</v>
      </c>
      <c r="C18" s="1">
        <v>46251</v>
      </c>
      <c r="D18" t="s">
        <v>85</v>
      </c>
      <c r="E18" t="s">
        <v>86</v>
      </c>
      <c r="F18">
        <v>145152</v>
      </c>
      <c r="G18" t="s">
        <v>87</v>
      </c>
      <c r="H18" t="s">
        <v>88</v>
      </c>
      <c r="I18" t="s">
        <v>89</v>
      </c>
      <c r="J18">
        <v>17</v>
      </c>
    </row>
    <row r="19" spans="1:10" x14ac:dyDescent="0.25">
      <c r="A19">
        <v>1</v>
      </c>
      <c r="B19" t="s">
        <v>10</v>
      </c>
      <c r="C19" s="1">
        <v>46253</v>
      </c>
      <c r="D19" t="s">
        <v>90</v>
      </c>
      <c r="E19" t="s">
        <v>91</v>
      </c>
      <c r="F19">
        <v>145371</v>
      </c>
      <c r="G19" t="s">
        <v>92</v>
      </c>
      <c r="H19" t="s">
        <v>90</v>
      </c>
      <c r="I19" t="s">
        <v>93</v>
      </c>
      <c r="J19">
        <v>18</v>
      </c>
    </row>
    <row r="20" spans="1:10" x14ac:dyDescent="0.25">
      <c r="A20">
        <v>1</v>
      </c>
      <c r="B20" t="s">
        <v>13</v>
      </c>
      <c r="C20" s="1">
        <v>46253</v>
      </c>
      <c r="D20" t="s">
        <v>94</v>
      </c>
      <c r="E20">
        <v>185</v>
      </c>
      <c r="F20">
        <v>0</v>
      </c>
      <c r="G20">
        <v>0</v>
      </c>
      <c r="I20" t="s">
        <v>95</v>
      </c>
      <c r="J20">
        <v>19</v>
      </c>
    </row>
    <row r="21" spans="1:10" x14ac:dyDescent="0.25">
      <c r="A21">
        <v>1</v>
      </c>
      <c r="B21" t="s">
        <v>10</v>
      </c>
      <c r="C21" s="1">
        <v>46253</v>
      </c>
      <c r="D21" t="s">
        <v>166</v>
      </c>
      <c r="E21" t="s">
        <v>96</v>
      </c>
      <c r="F21">
        <v>145715</v>
      </c>
      <c r="G21" t="s">
        <v>97</v>
      </c>
      <c r="H21" t="s">
        <v>140</v>
      </c>
      <c r="I21" t="s">
        <v>98</v>
      </c>
      <c r="J21">
        <v>20</v>
      </c>
    </row>
    <row r="22" spans="1:10" x14ac:dyDescent="0.25">
      <c r="A22">
        <v>1</v>
      </c>
      <c r="B22" t="s">
        <v>17</v>
      </c>
      <c r="C22" s="1">
        <v>46254</v>
      </c>
      <c r="D22" t="s">
        <v>99</v>
      </c>
      <c r="E22">
        <v>73</v>
      </c>
      <c r="F22">
        <v>0</v>
      </c>
      <c r="G22">
        <v>0</v>
      </c>
      <c r="I22" t="s">
        <v>100</v>
      </c>
      <c r="J22">
        <v>21</v>
      </c>
    </row>
    <row r="23" spans="1:10" x14ac:dyDescent="0.25">
      <c r="A23">
        <v>1</v>
      </c>
      <c r="B23" t="s">
        <v>10</v>
      </c>
      <c r="C23" s="1">
        <v>46254</v>
      </c>
      <c r="D23" t="s">
        <v>101</v>
      </c>
      <c r="E23" t="s">
        <v>102</v>
      </c>
      <c r="F23">
        <v>145837</v>
      </c>
      <c r="G23" t="s">
        <v>103</v>
      </c>
      <c r="H23" t="s">
        <v>104</v>
      </c>
      <c r="I23" t="s">
        <v>105</v>
      </c>
      <c r="J23">
        <v>22</v>
      </c>
    </row>
    <row r="24" spans="1:10" x14ac:dyDescent="0.25">
      <c r="A24">
        <v>1</v>
      </c>
      <c r="B24" t="s">
        <v>10</v>
      </c>
      <c r="C24" s="1">
        <v>46254</v>
      </c>
      <c r="D24" t="s">
        <v>106</v>
      </c>
      <c r="E24" t="s">
        <v>107</v>
      </c>
      <c r="F24">
        <v>146072</v>
      </c>
      <c r="G24" t="s">
        <v>108</v>
      </c>
      <c r="H24" t="s">
        <v>140</v>
      </c>
      <c r="I24" t="s">
        <v>109</v>
      </c>
      <c r="J24">
        <v>23</v>
      </c>
    </row>
    <row r="25" spans="1:10" x14ac:dyDescent="0.25">
      <c r="A25">
        <v>1</v>
      </c>
      <c r="B25" t="s">
        <v>10</v>
      </c>
      <c r="C25" s="1">
        <v>46255</v>
      </c>
      <c r="D25" t="s">
        <v>110</v>
      </c>
      <c r="E25" t="s">
        <v>111</v>
      </c>
      <c r="F25">
        <v>146440</v>
      </c>
      <c r="G25" t="s">
        <v>112</v>
      </c>
      <c r="H25" t="s">
        <v>113</v>
      </c>
      <c r="I25" t="s">
        <v>114</v>
      </c>
      <c r="J25">
        <v>24</v>
      </c>
    </row>
    <row r="26" spans="1:10" x14ac:dyDescent="0.25">
      <c r="A26">
        <v>1</v>
      </c>
      <c r="B26" t="s">
        <v>13</v>
      </c>
      <c r="C26" s="1">
        <v>46255</v>
      </c>
      <c r="D26" t="s">
        <v>119</v>
      </c>
      <c r="E26">
        <v>370</v>
      </c>
      <c r="F26">
        <v>0</v>
      </c>
      <c r="G26">
        <v>0</v>
      </c>
      <c r="I26" t="s">
        <v>120</v>
      </c>
      <c r="J26">
        <v>26</v>
      </c>
    </row>
    <row r="27" spans="1:10" x14ac:dyDescent="0.25">
      <c r="A27">
        <v>1</v>
      </c>
      <c r="B27" t="s">
        <v>10</v>
      </c>
      <c r="C27" s="1">
        <v>46256</v>
      </c>
      <c r="D27" t="s">
        <v>115</v>
      </c>
      <c r="E27" t="s">
        <v>116</v>
      </c>
      <c r="F27">
        <v>146632</v>
      </c>
      <c r="G27" t="s">
        <v>117</v>
      </c>
      <c r="H27" t="s">
        <v>140</v>
      </c>
      <c r="I27" t="s">
        <v>118</v>
      </c>
      <c r="J27">
        <v>25</v>
      </c>
    </row>
    <row r="28" spans="1:10" x14ac:dyDescent="0.25">
      <c r="A28">
        <v>1</v>
      </c>
      <c r="B28" t="s">
        <v>10</v>
      </c>
      <c r="C28" s="1">
        <v>46256</v>
      </c>
      <c r="D28" t="s">
        <v>115</v>
      </c>
      <c r="E28" t="s">
        <v>121</v>
      </c>
      <c r="F28">
        <v>146672</v>
      </c>
      <c r="G28" t="s">
        <v>122</v>
      </c>
      <c r="H28" t="s">
        <v>140</v>
      </c>
      <c r="I28" t="s">
        <v>123</v>
      </c>
      <c r="J28">
        <v>27</v>
      </c>
    </row>
    <row r="29" spans="1:10" x14ac:dyDescent="0.25">
      <c r="A29">
        <v>1</v>
      </c>
      <c r="B29" t="s">
        <v>10</v>
      </c>
      <c r="C29" s="1">
        <v>46257</v>
      </c>
      <c r="D29" t="s">
        <v>124</v>
      </c>
      <c r="E29" t="s">
        <v>125</v>
      </c>
      <c r="F29">
        <v>146771</v>
      </c>
      <c r="G29" t="s">
        <v>126</v>
      </c>
      <c r="H29" t="s">
        <v>127</v>
      </c>
      <c r="I29" t="s">
        <v>128</v>
      </c>
      <c r="J29">
        <v>28</v>
      </c>
    </row>
    <row r="30" spans="1:10" x14ac:dyDescent="0.25">
      <c r="A30">
        <v>1</v>
      </c>
      <c r="B30" t="s">
        <v>10</v>
      </c>
      <c r="C30" s="1">
        <v>46258</v>
      </c>
      <c r="D30" t="s">
        <v>124</v>
      </c>
      <c r="E30" t="s">
        <v>129</v>
      </c>
      <c r="F30">
        <v>146922</v>
      </c>
      <c r="G30" t="s">
        <v>130</v>
      </c>
      <c r="H30" t="s">
        <v>131</v>
      </c>
      <c r="I30" t="s">
        <v>132</v>
      </c>
      <c r="J30">
        <v>29</v>
      </c>
    </row>
    <row r="31" spans="1:10" x14ac:dyDescent="0.25">
      <c r="A31">
        <v>1</v>
      </c>
      <c r="B31" t="s">
        <v>10</v>
      </c>
      <c r="C31" s="1">
        <v>46258</v>
      </c>
      <c r="D31" t="s">
        <v>124</v>
      </c>
      <c r="E31" t="s">
        <v>129</v>
      </c>
      <c r="F31">
        <v>147070</v>
      </c>
      <c r="G31" t="s">
        <v>130</v>
      </c>
      <c r="H31" t="s">
        <v>138</v>
      </c>
      <c r="I31" t="s">
        <v>139</v>
      </c>
      <c r="J31">
        <v>31</v>
      </c>
    </row>
    <row r="32" spans="1:10" x14ac:dyDescent="0.25">
      <c r="A32">
        <v>1</v>
      </c>
      <c r="B32" t="s">
        <v>13</v>
      </c>
      <c r="C32" s="1">
        <v>46258</v>
      </c>
      <c r="D32" t="s">
        <v>151</v>
      </c>
      <c r="E32">
        <v>140</v>
      </c>
      <c r="F32">
        <v>0</v>
      </c>
      <c r="G32">
        <v>0</v>
      </c>
      <c r="I32" t="s">
        <v>152</v>
      </c>
      <c r="J32">
        <v>35</v>
      </c>
    </row>
    <row r="33" spans="1:10" x14ac:dyDescent="0.25">
      <c r="A33">
        <v>1</v>
      </c>
      <c r="B33" t="s">
        <v>10</v>
      </c>
      <c r="C33" s="1">
        <v>46259</v>
      </c>
      <c r="D33" t="s">
        <v>133</v>
      </c>
      <c r="E33" t="s">
        <v>134</v>
      </c>
      <c r="F33">
        <v>147249</v>
      </c>
      <c r="G33" t="s">
        <v>135</v>
      </c>
      <c r="H33" t="s">
        <v>136</v>
      </c>
      <c r="I33" t="s">
        <v>137</v>
      </c>
      <c r="J33">
        <v>30</v>
      </c>
    </row>
    <row r="34" spans="1:10" x14ac:dyDescent="0.25">
      <c r="A34">
        <v>1</v>
      </c>
      <c r="B34" t="s">
        <v>10</v>
      </c>
      <c r="C34" s="1">
        <v>46259</v>
      </c>
      <c r="D34" t="s">
        <v>140</v>
      </c>
      <c r="E34" t="s">
        <v>141</v>
      </c>
      <c r="F34">
        <v>147584</v>
      </c>
      <c r="G34" t="s">
        <v>164</v>
      </c>
      <c r="H34" t="s">
        <v>142</v>
      </c>
      <c r="I34" t="s">
        <v>143</v>
      </c>
      <c r="J34">
        <v>32</v>
      </c>
    </row>
    <row r="35" spans="1:10" x14ac:dyDescent="0.25">
      <c r="A35">
        <v>1</v>
      </c>
      <c r="B35" t="s">
        <v>10</v>
      </c>
      <c r="C35" s="1">
        <v>46259</v>
      </c>
      <c r="D35" t="s">
        <v>144</v>
      </c>
      <c r="E35" t="s">
        <v>145</v>
      </c>
      <c r="F35">
        <v>147445</v>
      </c>
      <c r="G35" t="s">
        <v>146</v>
      </c>
      <c r="H35" t="s">
        <v>147</v>
      </c>
      <c r="I35" t="s">
        <v>148</v>
      </c>
      <c r="J35">
        <v>33</v>
      </c>
    </row>
    <row r="36" spans="1:10" x14ac:dyDescent="0.25">
      <c r="A36">
        <v>1</v>
      </c>
      <c r="B36" t="s">
        <v>13</v>
      </c>
      <c r="C36" s="1">
        <v>46259</v>
      </c>
      <c r="D36" t="s">
        <v>149</v>
      </c>
      <c r="E36">
        <v>160</v>
      </c>
      <c r="F36">
        <v>0</v>
      </c>
      <c r="G36">
        <v>0</v>
      </c>
      <c r="I36" t="s">
        <v>150</v>
      </c>
      <c r="J36">
        <v>34</v>
      </c>
    </row>
  </sheetData>
  <sortState xmlns:xlrd2="http://schemas.microsoft.com/office/spreadsheetml/2017/richdata2" ref="A2:J36">
    <sortCondition ref="C2:C36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"/>
  <sheetViews>
    <sheetView workbookViewId="0">
      <selection activeCell="B5" sqref="B5"/>
    </sheetView>
  </sheetViews>
  <sheetFormatPr defaultRowHeight="15" x14ac:dyDescent="0.25"/>
  <cols>
    <col min="1" max="1" width="33" bestFit="1" customWidth="1"/>
    <col min="2" max="2" width="15.140625" bestFit="1" customWidth="1"/>
    <col min="3" max="3" width="10.42578125" bestFit="1" customWidth="1"/>
    <col min="4" max="4" width="8.140625" bestFit="1" customWidth="1"/>
    <col min="5" max="5" width="9.28515625" bestFit="1" customWidth="1"/>
    <col min="6" max="6" width="12.140625" bestFit="1" customWidth="1"/>
    <col min="7" max="7" width="23.5703125" bestFit="1" customWidth="1"/>
    <col min="8" max="8" width="2.7109375" bestFit="1" customWidth="1"/>
  </cols>
  <sheetData>
    <row r="1" spans="1:8" x14ac:dyDescent="0.25">
      <c r="A1" t="s">
        <v>153</v>
      </c>
      <c r="B1" t="s">
        <v>154</v>
      </c>
      <c r="C1" t="s">
        <v>155</v>
      </c>
      <c r="D1" t="s">
        <v>156</v>
      </c>
      <c r="E1" t="s">
        <v>157</v>
      </c>
      <c r="F1" t="s">
        <v>158</v>
      </c>
      <c r="G1" t="s">
        <v>159</v>
      </c>
      <c r="H1" t="s">
        <v>160</v>
      </c>
    </row>
    <row r="2" spans="1:8" x14ac:dyDescent="0.25">
      <c r="A2" t="s">
        <v>161</v>
      </c>
      <c r="B2" t="s">
        <v>162</v>
      </c>
      <c r="C2" s="1">
        <v>46241</v>
      </c>
      <c r="D2">
        <v>147722</v>
      </c>
      <c r="E2">
        <v>143976</v>
      </c>
      <c r="G2" t="s">
        <v>163</v>
      </c>
      <c r="H2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Dashboard</vt:lpstr>
      <vt:lpstr>Despesas</vt:lpstr>
      <vt:lpstr>Viagens</vt:lpstr>
      <vt:lpstr>Dashboard!Area_de_impressao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Silva</dc:creator>
  <cp:lastModifiedBy>Vinicius Silva</cp:lastModifiedBy>
  <dcterms:created xsi:type="dcterms:W3CDTF">2026-08-31T18:16:59Z</dcterms:created>
  <dcterms:modified xsi:type="dcterms:W3CDTF">2026-08-31T18:51:08Z</dcterms:modified>
</cp:coreProperties>
</file>